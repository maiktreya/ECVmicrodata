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70254057\Downloads\"/>
    </mc:Choice>
  </mc:AlternateContent>
  <xr:revisionPtr revIDLastSave="0" documentId="13_ncr:1_{7971F36A-F2C2-4A53-958D-6878191AD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ECV brutos" sheetId="2" r:id="rId2"/>
    <sheet name="EFF bru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5" i="3"/>
</calcChain>
</file>

<file path=xl/sharedStrings.xml><?xml version="1.0" encoding="utf-8"?>
<sst xmlns="http://schemas.openxmlformats.org/spreadsheetml/2006/main" count="21" uniqueCount="17">
  <si>
    <t>Idealista</t>
  </si>
  <si>
    <t>Fotocasa</t>
  </si>
  <si>
    <t>IPC</t>
  </si>
  <si>
    <t>IPVA</t>
  </si>
  <si>
    <t>ECV</t>
  </si>
  <si>
    <t>CaixaBank</t>
  </si>
  <si>
    <t>SERPAVI</t>
  </si>
  <si>
    <t>Variación porcentual del precio del alquiler según distintas fuentes</t>
  </si>
  <si>
    <t>Script para reproducción de resultados disponible en: https://github.com/maiktreya/ECVmicrodata/blob/main/src/IPC_alquiler.R</t>
  </si>
  <si>
    <t>Script para reproducción de resultados disponible en: https://github.com/maiktreya/EFFmicrodata/blob/main/src/IPC_alquiler_CGT.R</t>
  </si>
  <si>
    <t>NA</t>
  </si>
  <si>
    <t>period</t>
  </si>
  <si>
    <t>monthly rent</t>
  </si>
  <si>
    <t>growth rate</t>
  </si>
  <si>
    <t>EFF</t>
  </si>
  <si>
    <t>growth rate (cumulative)</t>
  </si>
  <si>
    <t>growth rate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</si>
</sst>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center"/>
    </xf>
    <xf numFmtId="0" fontId="0" fillId="0" borderId="0" xfId="0" applyFill="1" applyAlignment="1">
      <alignment horizontal="right"/>
    </xf>
    <xf numFmtId="168" fontId="0" fillId="0" borderId="0" xfId="2" applyNumberFormat="1" applyFont="1" applyFill="1" applyAlignment="1">
      <alignment horizontal="right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11"/>
  <sheetViews>
    <sheetView tabSelected="1" topLeftCell="B1" workbookViewId="0">
      <selection activeCell="J26" sqref="J26"/>
    </sheetView>
  </sheetViews>
  <sheetFormatPr defaultColWidth="11.42578125" defaultRowHeight="15" x14ac:dyDescent="0.25"/>
  <cols>
    <col min="5" max="5" width="12.5703125" bestFit="1" customWidth="1"/>
  </cols>
  <sheetData>
    <row r="2" spans="3:9" ht="15.75" thickBot="1" x14ac:dyDescent="0.3">
      <c r="C2" s="9" t="s">
        <v>7</v>
      </c>
      <c r="D2" s="9"/>
      <c r="E2" s="9"/>
      <c r="F2" s="9"/>
      <c r="G2" s="9"/>
      <c r="H2" s="9"/>
      <c r="I2" s="9"/>
    </row>
    <row r="3" spans="3:9" x14ac:dyDescent="0.25">
      <c r="C3" s="1"/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3">
        <v>2024</v>
      </c>
    </row>
    <row r="4" spans="3:9" x14ac:dyDescent="0.25">
      <c r="C4" s="4" t="s">
        <v>5</v>
      </c>
      <c r="I4" s="5">
        <v>6</v>
      </c>
    </row>
    <row r="5" spans="3:9" x14ac:dyDescent="0.25">
      <c r="C5" s="4" t="s">
        <v>0</v>
      </c>
      <c r="D5">
        <v>4.5999999999999996</v>
      </c>
      <c r="E5">
        <v>4.7</v>
      </c>
      <c r="F5">
        <v>-2.9</v>
      </c>
      <c r="G5">
        <v>2.7</v>
      </c>
      <c r="H5">
        <v>8.9</v>
      </c>
      <c r="I5" s="5">
        <v>11.4</v>
      </c>
    </row>
    <row r="6" spans="3:9" x14ac:dyDescent="0.25">
      <c r="C6" s="4" t="s">
        <v>1</v>
      </c>
      <c r="D6">
        <v>5.0999999999999996</v>
      </c>
      <c r="E6">
        <v>4.5999999999999996</v>
      </c>
      <c r="F6">
        <v>-3.6</v>
      </c>
      <c r="G6">
        <v>7.4</v>
      </c>
      <c r="H6">
        <v>5.7</v>
      </c>
      <c r="I6" s="5">
        <v>14</v>
      </c>
    </row>
    <row r="7" spans="3:9" x14ac:dyDescent="0.25">
      <c r="C7" s="4" t="s">
        <v>2</v>
      </c>
      <c r="D7">
        <v>1.5</v>
      </c>
      <c r="E7">
        <v>1.1000000000000001</v>
      </c>
      <c r="F7">
        <v>0.6</v>
      </c>
      <c r="G7">
        <v>1.3</v>
      </c>
      <c r="H7">
        <v>2.1</v>
      </c>
      <c r="I7" s="5">
        <v>2.2000000000000002</v>
      </c>
    </row>
    <row r="8" spans="3:9" x14ac:dyDescent="0.25">
      <c r="C8" s="4" t="s">
        <v>3</v>
      </c>
      <c r="D8">
        <v>3.5</v>
      </c>
      <c r="E8">
        <v>0.9</v>
      </c>
      <c r="F8">
        <v>1.6</v>
      </c>
      <c r="G8">
        <v>2.7</v>
      </c>
      <c r="H8">
        <v>2.6</v>
      </c>
      <c r="I8" s="5"/>
    </row>
    <row r="9" spans="3:9" x14ac:dyDescent="0.25">
      <c r="C9" s="4" t="s">
        <v>14</v>
      </c>
      <c r="D9" s="16"/>
      <c r="E9" s="17">
        <v>8.9890253808918939E-3</v>
      </c>
      <c r="F9" s="16"/>
      <c r="G9" s="17">
        <v>1.8123683514768896E-2</v>
      </c>
      <c r="H9" s="16"/>
      <c r="I9" s="5"/>
    </row>
    <row r="10" spans="3:9" x14ac:dyDescent="0.25">
      <c r="C10" s="4" t="s">
        <v>4</v>
      </c>
      <c r="D10" s="17">
        <v>3.2000000000000001E-2</v>
      </c>
      <c r="E10" s="17">
        <v>1.9099999999999999E-2</v>
      </c>
      <c r="F10" s="17">
        <v>3.9399999999999998E-2</v>
      </c>
      <c r="G10" s="17">
        <v>2.5600000000000001E-2</v>
      </c>
      <c r="H10" s="17">
        <v>4.8800000000000003E-2</v>
      </c>
      <c r="I10" s="5"/>
    </row>
    <row r="11" spans="3:9" ht="15.75" thickBot="1" x14ac:dyDescent="0.3">
      <c r="C11" s="6" t="s">
        <v>6</v>
      </c>
      <c r="D11" s="7">
        <v>7.9</v>
      </c>
      <c r="E11" s="7">
        <v>2.4</v>
      </c>
      <c r="F11" s="7">
        <v>3.9</v>
      </c>
      <c r="G11" s="7">
        <v>1.9</v>
      </c>
      <c r="H11" s="7">
        <v>5.4</v>
      </c>
      <c r="I11" s="8"/>
    </row>
  </sheetData>
  <mergeCells count="1">
    <mergeCell ref="C2:I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6567-A483-4C0D-8C2A-B7D9DDD37F2D}">
  <dimension ref="A1:Q24"/>
  <sheetViews>
    <sheetView workbookViewId="0">
      <selection activeCell="F4" sqref="F4:F8"/>
    </sheetView>
  </sheetViews>
  <sheetFormatPr defaultRowHeight="15" x14ac:dyDescent="0.25"/>
  <cols>
    <col min="5" max="5" width="12.5703125" bestFit="1" customWidth="1"/>
    <col min="6" max="6" width="11.28515625" bestFit="1" customWidth="1"/>
  </cols>
  <sheetData>
    <row r="1" spans="1:17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3" spans="1:17" x14ac:dyDescent="0.25">
      <c r="D3" s="13" t="s">
        <v>11</v>
      </c>
      <c r="E3" s="13" t="s">
        <v>12</v>
      </c>
      <c r="F3" s="13" t="s">
        <v>13</v>
      </c>
    </row>
    <row r="4" spans="1:17" x14ac:dyDescent="0.25">
      <c r="B4" s="12"/>
      <c r="D4" s="10">
        <v>2019</v>
      </c>
      <c r="E4" s="14">
        <v>520.6</v>
      </c>
      <c r="F4" s="15">
        <v>3.2000000000000001E-2</v>
      </c>
    </row>
    <row r="5" spans="1:17" x14ac:dyDescent="0.25">
      <c r="D5" s="10">
        <v>2020</v>
      </c>
      <c r="E5" s="10">
        <v>537.51</v>
      </c>
      <c r="F5" s="15">
        <v>1.9099999999999999E-2</v>
      </c>
    </row>
    <row r="6" spans="1:17" x14ac:dyDescent="0.25">
      <c r="D6" s="10">
        <v>2021</v>
      </c>
      <c r="E6" s="10">
        <v>547.89</v>
      </c>
      <c r="F6" s="15">
        <v>3.9399999999999998E-2</v>
      </c>
    </row>
    <row r="7" spans="1:17" x14ac:dyDescent="0.25">
      <c r="D7" s="10">
        <v>2022</v>
      </c>
      <c r="E7" s="10">
        <v>569.86</v>
      </c>
      <c r="F7" s="15">
        <v>2.5600000000000001E-2</v>
      </c>
    </row>
    <row r="8" spans="1:17" x14ac:dyDescent="0.25">
      <c r="B8" s="12"/>
      <c r="D8" s="10">
        <v>2023</v>
      </c>
      <c r="E8" s="10">
        <v>584.64</v>
      </c>
      <c r="F8" s="15">
        <v>4.8800000000000003E-2</v>
      </c>
    </row>
    <row r="9" spans="1:17" x14ac:dyDescent="0.25">
      <c r="D9" s="10">
        <v>2024</v>
      </c>
      <c r="E9" s="10">
        <v>613.85</v>
      </c>
      <c r="F9" s="10" t="s">
        <v>10</v>
      </c>
    </row>
    <row r="12" spans="1:17" x14ac:dyDescent="0.25">
      <c r="B12" s="12"/>
    </row>
    <row r="16" spans="1:17" x14ac:dyDescent="0.25">
      <c r="B16" s="12"/>
    </row>
    <row r="20" spans="2:2" x14ac:dyDescent="0.25">
      <c r="B20" s="12"/>
    </row>
    <row r="24" spans="2:2" x14ac:dyDescent="0.25">
      <c r="B24" s="12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4D5D-CAF3-44F0-BB62-09D15DFFA76E}">
  <dimension ref="A1:Q11"/>
  <sheetViews>
    <sheetView workbookViewId="0">
      <selection activeCell="G11" sqref="G11"/>
    </sheetView>
  </sheetViews>
  <sheetFormatPr defaultRowHeight="15" x14ac:dyDescent="0.25"/>
  <cols>
    <col min="5" max="5" width="13.7109375" bestFit="1" customWidth="1"/>
    <col min="6" max="6" width="25.85546875" customWidth="1"/>
    <col min="7" max="7" width="17.28515625" bestFit="1" customWidth="1"/>
  </cols>
  <sheetData>
    <row r="1" spans="1:17" x14ac:dyDescent="0.25">
      <c r="A1" s="11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3" spans="1:17" x14ac:dyDescent="0.25">
      <c r="D3" s="13" t="s">
        <v>11</v>
      </c>
      <c r="E3" s="13" t="s">
        <v>12</v>
      </c>
      <c r="F3" s="13" t="s">
        <v>15</v>
      </c>
      <c r="G3" s="13" t="s">
        <v>16</v>
      </c>
    </row>
    <row r="4" spans="1:17" x14ac:dyDescent="0.25">
      <c r="D4" s="10">
        <v>2002</v>
      </c>
      <c r="E4" s="14">
        <v>266.20959480471799</v>
      </c>
      <c r="F4" s="10" t="s">
        <v>10</v>
      </c>
      <c r="G4" s="10" t="s">
        <v>10</v>
      </c>
    </row>
    <row r="5" spans="1:17" x14ac:dyDescent="0.25">
      <c r="D5" s="10">
        <v>2005</v>
      </c>
      <c r="E5" s="14">
        <v>277.90886501853203</v>
      </c>
      <c r="F5" s="15">
        <v>4.3009287364927901E-2</v>
      </c>
      <c r="G5" s="15">
        <f>(LOG(E5)-LOG(E4))/3</f>
        <v>6.2262320577262109E-3</v>
      </c>
    </row>
    <row r="6" spans="1:17" x14ac:dyDescent="0.25">
      <c r="D6" s="10">
        <v>2008</v>
      </c>
      <c r="E6" s="14">
        <v>352.714685128133</v>
      </c>
      <c r="F6" s="15">
        <v>0.238366236419399</v>
      </c>
      <c r="G6" s="15">
        <f t="shared" ref="G6:G11" si="0">(LOG(E6)-LOG(E5))/3</f>
        <v>3.4507047049663786E-2</v>
      </c>
    </row>
    <row r="7" spans="1:17" x14ac:dyDescent="0.25">
      <c r="D7" s="10">
        <v>2011</v>
      </c>
      <c r="E7" s="14">
        <v>471.49994186690799</v>
      </c>
      <c r="F7" s="15">
        <v>0.290259506089802</v>
      </c>
      <c r="G7" s="15">
        <f t="shared" si="0"/>
        <v>4.201936727158806E-2</v>
      </c>
    </row>
    <row r="8" spans="1:17" x14ac:dyDescent="0.25">
      <c r="D8" s="10">
        <v>2014</v>
      </c>
      <c r="E8" s="14">
        <v>406.32428918754499</v>
      </c>
      <c r="F8" s="15">
        <v>-0.148767396161093</v>
      </c>
      <c r="G8" s="15">
        <f t="shared" si="0"/>
        <v>-2.1536286413292565E-2</v>
      </c>
    </row>
    <row r="9" spans="1:17" x14ac:dyDescent="0.25">
      <c r="D9" s="10">
        <v>2017</v>
      </c>
      <c r="E9" s="14">
        <v>366.75840560732399</v>
      </c>
      <c r="F9" s="15">
        <v>-0.10244824668331499</v>
      </c>
      <c r="G9" s="15">
        <f t="shared" si="0"/>
        <v>-1.4830902738408813E-2</v>
      </c>
    </row>
    <row r="10" spans="1:17" x14ac:dyDescent="0.25">
      <c r="D10" s="10">
        <v>2020</v>
      </c>
      <c r="E10" s="14">
        <v>390.25381044589699</v>
      </c>
      <c r="F10" s="15">
        <v>6.2093987527760901E-2</v>
      </c>
      <c r="G10" s="15">
        <f t="shared" si="0"/>
        <v>8.9890253808918939E-3</v>
      </c>
    </row>
    <row r="11" spans="1:17" x14ac:dyDescent="0.25">
      <c r="D11" s="10">
        <v>2022</v>
      </c>
      <c r="E11" s="14">
        <v>442.30128668016403</v>
      </c>
      <c r="F11" s="15">
        <v>0.125193970473748</v>
      </c>
      <c r="G11" s="15">
        <f t="shared" si="0"/>
        <v>1.8123683514768896E-2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ECV brutos</vt:lpstr>
      <vt:lpstr>EFF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Miguel Garcia-Duch</cp:lastModifiedBy>
  <dcterms:created xsi:type="dcterms:W3CDTF">2025-12-22T10:49:54Z</dcterms:created>
  <dcterms:modified xsi:type="dcterms:W3CDTF">2025-12-23T11:51:00Z</dcterms:modified>
</cp:coreProperties>
</file>